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ityong/pathway/src/data/"/>
    </mc:Choice>
  </mc:AlternateContent>
  <xr:revisionPtr revIDLastSave="0" documentId="13_ncr:1_{51DA0465-4AB4-E345-AEA3-CC8EA0690F01}" xr6:coauthVersionLast="45" xr6:coauthVersionMax="45" xr10:uidLastSave="{00000000-0000-0000-0000-000000000000}"/>
  <bookViews>
    <workbookView xWindow="34620" yWindow="-6900" windowWidth="28800" windowHeight="17540" activeTab="2" xr2:uid="{121EF7CB-2649-7947-BF08-2B6C29070AEA}"/>
  </bookViews>
  <sheets>
    <sheet name="Drugs" sheetId="1" r:id="rId1"/>
    <sheet name="Tests" sheetId="2" r:id="rId2"/>
    <sheet name="Consultation" sheetId="5" r:id="rId3"/>
    <sheet name="Polyclinic Tests" sheetId="4" r:id="rId4"/>
    <sheet name="Polyclinic Drugs" sheetId="3" r:id="rId5"/>
    <sheet name="Polyclinic consultation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5" i="1" l="1"/>
  <c r="F15" i="1"/>
</calcChain>
</file>

<file path=xl/sharedStrings.xml><?xml version="1.0" encoding="utf-8"?>
<sst xmlns="http://schemas.openxmlformats.org/spreadsheetml/2006/main" count="300" uniqueCount="129">
  <si>
    <t>Name</t>
  </si>
  <si>
    <t>Description</t>
  </si>
  <si>
    <t>Unit</t>
  </si>
  <si>
    <t>Unit Price</t>
  </si>
  <si>
    <t xml:space="preserve">Metformin </t>
  </si>
  <si>
    <t xml:space="preserve">METFORMIN HCL 500MG  </t>
  </si>
  <si>
    <t xml:space="preserve">METFORMIN HCL 850MG  </t>
  </si>
  <si>
    <t>TAB</t>
  </si>
  <si>
    <t>NF</t>
  </si>
  <si>
    <t>S1</t>
  </si>
  <si>
    <t xml:space="preserve">Sulfonylureas (Glipizide) </t>
  </si>
  <si>
    <t>S2</t>
  </si>
  <si>
    <t>SGLT2</t>
  </si>
  <si>
    <t xml:space="preserve">DAPAGLIFLOZIN 10MG TAB (FORXIGA) </t>
  </si>
  <si>
    <t xml:space="preserve">EMPAGLIFLOZIN 10MG TAB (JARDIANCE) </t>
  </si>
  <si>
    <t xml:space="preserve">EMPAGLIFLOZIN 25MG TAB (JARDIANCE) </t>
  </si>
  <si>
    <t>DPP-4</t>
  </si>
  <si>
    <t xml:space="preserve">SITAGLIPTIN 100MG TAB (JANUVIA) </t>
  </si>
  <si>
    <t xml:space="preserve">SITAGLIPTIN 25MG TAB (JANUVIA) </t>
  </si>
  <si>
    <t xml:space="preserve">SITAGLIPTIN 50MG TAB (JANUVIA) </t>
  </si>
  <si>
    <t xml:space="preserve">LINAGLIPTIN 5MG TAB (TRAJENTA) </t>
  </si>
  <si>
    <t>NovoMix insulin (Insulin Aspart)</t>
  </si>
  <si>
    <t xml:space="preserve">NOVOMIX 30 FLEXPEN 3ML  </t>
  </si>
  <si>
    <t>VAL</t>
  </si>
  <si>
    <t xml:space="preserve">GLIPIZIDE 5MG </t>
  </si>
  <si>
    <t>Non-Resident</t>
  </si>
  <si>
    <t>DRP</t>
  </si>
  <si>
    <t>Diabetic Retinal Photography</t>
  </si>
  <si>
    <t>DFS</t>
  </si>
  <si>
    <t>Diabetic Foot Screening</t>
  </si>
  <si>
    <t>Bundle Package</t>
  </si>
  <si>
    <t>DRP + DFS + 1 Nurse Visit</t>
  </si>
  <si>
    <t>DRP + DFS + 2 Nurse Visit</t>
  </si>
  <si>
    <t>DRP/DFS + 1 Nurse Visit</t>
  </si>
  <si>
    <t>Polyclinic Drugs</t>
  </si>
  <si>
    <t>Drug Status</t>
  </si>
  <si>
    <t xml:space="preserve">SGLT2 </t>
  </si>
  <si>
    <t xml:space="preserve"> DAPAGLIFLOZIN 10MG TAB (FORXIGA) </t>
  </si>
  <si>
    <t xml:space="preserve">EMPAGLIFLOZIN 10MG tab (JARDIANCE) </t>
  </si>
  <si>
    <t>NS</t>
  </si>
  <si>
    <t xml:space="preserve"> SITAGLIPTIN 100MG TAB (JANUVIA) </t>
  </si>
  <si>
    <t>PEN</t>
  </si>
  <si>
    <t>Polyclinic Tests</t>
  </si>
  <si>
    <t>Subsidised SG PRs</t>
  </si>
  <si>
    <t>Nurse-led Clinic</t>
  </si>
  <si>
    <t>Subsidised Adult SG Citizens</t>
  </si>
  <si>
    <t>Subsidised Child/Elderly SG Citizens</t>
  </si>
  <si>
    <t>Polyclinic consultation</t>
  </si>
  <si>
    <t>NA</t>
  </si>
  <si>
    <t xml:space="preserve"> METFORMIN HCL 250MG</t>
  </si>
  <si>
    <t>METFORMIN HCL 500MG  XR</t>
  </si>
  <si>
    <t xml:space="preserve"> GLIPIZIDE 5MG</t>
  </si>
  <si>
    <t>NOVOMIX 30 INSULIN PEN 3ML</t>
  </si>
  <si>
    <t>PCN_UnitPrice</t>
  </si>
  <si>
    <t>PCN_Status</t>
  </si>
  <si>
    <t>Polyclinic_Status</t>
  </si>
  <si>
    <t>Polyclinic_UnitPrice</t>
  </si>
  <si>
    <t>DRUGS</t>
  </si>
  <si>
    <t>PCN_PG_CHAS</t>
  </si>
  <si>
    <t>PCN_MG_CHAS</t>
  </si>
  <si>
    <t>PCN_Orange_CHAS</t>
  </si>
  <si>
    <t>PCN_Green_CHAS</t>
  </si>
  <si>
    <t>PCN_Non_CHAS</t>
  </si>
  <si>
    <t>PCN_NonResident</t>
  </si>
  <si>
    <t>Polyclinic_SG</t>
  </si>
  <si>
    <t>Polyclinic_PR</t>
  </si>
  <si>
    <t>PCN_PRs</t>
  </si>
  <si>
    <t>Polyclinic_NonResident</t>
  </si>
  <si>
    <t>Tests</t>
  </si>
  <si>
    <t>Nurse Counselling</t>
  </si>
  <si>
    <t>hbA1c</t>
  </si>
  <si>
    <t>Spirometry</t>
  </si>
  <si>
    <t>Based on respective service providers' charges</t>
  </si>
  <si>
    <t>Consultation</t>
  </si>
  <si>
    <t>Doctor Consultation</t>
  </si>
  <si>
    <t>PCN_BLUE_CHAS</t>
  </si>
  <si>
    <t>PCN_ORANGE_CHAS</t>
  </si>
  <si>
    <t>PCN_GREEN_CHAS</t>
  </si>
  <si>
    <t>PCN_NON_CHAS</t>
  </si>
  <si>
    <t>POLYCLINIC_SG_ADULT</t>
  </si>
  <si>
    <t>POLYCLINIC_SG_CHILD_ELDERLY</t>
  </si>
  <si>
    <t>POLYCLINIC_PR</t>
  </si>
  <si>
    <t>POLYCLINIC_NON_RESIDENT</t>
  </si>
  <si>
    <t>Family Physician Consultation</t>
  </si>
  <si>
    <t>Polyclinic_SG_Child_Elderly</t>
  </si>
  <si>
    <t>PCN_Blue_CHAS</t>
  </si>
  <si>
    <t>500MG XR TAB (GLUCOPHAGE XR)</t>
  </si>
  <si>
    <t xml:space="preserve">HCL 250MG </t>
  </si>
  <si>
    <t xml:space="preserve">HCL 500MG  </t>
  </si>
  <si>
    <t xml:space="preserve">HCL 500MG XR </t>
  </si>
  <si>
    <t xml:space="preserve">HCL 850MG  </t>
  </si>
  <si>
    <t>$12/bundle</t>
  </si>
  <si>
    <t>$14/bundle</t>
  </si>
  <si>
    <t>$6/bundle</t>
  </si>
  <si>
    <t>$18/bundle</t>
  </si>
  <si>
    <t>$24/bundle</t>
  </si>
  <si>
    <t>$10/bundle</t>
  </si>
  <si>
    <t>$30/bundle</t>
  </si>
  <si>
    <t>$40/bundle</t>
  </si>
  <si>
    <t>$45/bundle</t>
  </si>
  <si>
    <t>$20/bundle</t>
  </si>
  <si>
    <t>$7/test</t>
  </si>
  <si>
    <t>$5/test</t>
  </si>
  <si>
    <t>$21/test</t>
  </si>
  <si>
    <t>$24/test</t>
  </si>
  <si>
    <t>$23.50/test</t>
  </si>
  <si>
    <t>$30.60/test</t>
  </si>
  <si>
    <t>$9/test</t>
  </si>
  <si>
    <t>$16/test</t>
  </si>
  <si>
    <t>$23/test</t>
  </si>
  <si>
    <t>$40/test</t>
  </si>
  <si>
    <t>$12.80/test</t>
  </si>
  <si>
    <t>$12.8/test</t>
  </si>
  <si>
    <t>$5/session</t>
  </si>
  <si>
    <t>$7/session</t>
  </si>
  <si>
    <t>$9/session</t>
  </si>
  <si>
    <t>$10/session</t>
  </si>
  <si>
    <t>$23/session</t>
  </si>
  <si>
    <t>$40/session</t>
  </si>
  <si>
    <t>$7.30/session</t>
  </si>
  <si>
    <t>$6.80/session</t>
  </si>
  <si>
    <t>$14.10/test</t>
  </si>
  <si>
    <t>$10/test</t>
  </si>
  <si>
    <t>$49.80/test</t>
  </si>
  <si>
    <t>$31.40/session</t>
  </si>
  <si>
    <t xml:space="preserve"> </t>
  </si>
  <si>
    <t>$35 to $55</t>
  </si>
  <si>
    <t>$12 to $15</t>
  </si>
  <si>
    <t>$5 to $12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</si>
</sst>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8" formatCode="&quot;$&quot;#,##0.00_);[Red]\(&quot;$&quot;#,##0.00\)"/>
  </numFmts>
  <fonts count="3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7" fontId="0" fillId="0" borderId="0" xfId="0" applyNumberFormat="1"/>
    <xf numFmtId="7" fontId="0" fillId="0" borderId="0" xfId="0" applyNumberFormat="1" applyFont="1" applyAlignment="1">
      <alignment wrapText="1"/>
    </xf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vertical="center" wrapText="1"/>
    </xf>
    <xf numFmtId="7" fontId="2" fillId="0" borderId="0" xfId="0" applyNumberFormat="1" applyFont="1" applyBorder="1" applyAlignment="1">
      <alignment wrapText="1"/>
    </xf>
    <xf numFmtId="7" fontId="0" fillId="0" borderId="0" xfId="0" applyNumberFormat="1" applyAlignment="1">
      <alignment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7" fontId="0" fillId="0" borderId="0" xfId="0" applyNumberFormat="1" applyAlignment="1">
      <alignment horizontal="right"/>
    </xf>
    <xf numFmtId="16" fontId="0" fillId="0" borderId="0" xfId="0" applyNumberFormat="1" applyAlignment="1">
      <alignment wrapText="1"/>
    </xf>
    <xf numFmtId="8" fontId="0" fillId="0" borderId="0" xfId="0" applyNumberFormat="1" applyAlignment="1">
      <alignment wrapText="1"/>
    </xf>
    <xf numFmtId="6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89C43-CFBC-9140-82FF-3E3DCF2AF257}">
  <sheetPr codeName="Sheet1"/>
  <dimension ref="A1:M16"/>
  <sheetViews>
    <sheetView zoomScale="150" workbookViewId="0">
      <selection activeCell="C9" sqref="C9"/>
    </sheetView>
  </sheetViews>
  <sheetFormatPr baseColWidth="10" defaultRowHeight="16"/>
  <cols>
    <col min="1" max="1" width="18.5" style="4" bestFit="1" customWidth="1"/>
    <col min="2" max="2" width="27.6640625" style="4" bestFit="1" customWidth="1"/>
    <col min="3" max="3" width="38.33203125" style="4" bestFit="1" customWidth="1"/>
    <col min="4" max="4" width="4.6640625" style="4" bestFit="1" customWidth="1"/>
    <col min="5" max="5" width="10.83203125" style="4"/>
    <col min="6" max="6" width="12.83203125" style="4" customWidth="1"/>
    <col min="7" max="7" width="16.6640625" style="4" customWidth="1"/>
    <col min="8" max="8" width="13.1640625" style="4" bestFit="1" customWidth="1"/>
    <col min="9" max="9" width="14.83203125" style="4" bestFit="1" customWidth="1"/>
    <col min="10" max="10" width="12.5" style="4" bestFit="1" customWidth="1"/>
    <col min="11" max="11" width="11.83203125" style="4" bestFit="1" customWidth="1"/>
    <col min="12" max="16384" width="10.83203125" style="4"/>
  </cols>
  <sheetData>
    <row r="1" spans="1:13" ht="34">
      <c r="A1" s="5" t="s">
        <v>57</v>
      </c>
      <c r="B1" s="6" t="s">
        <v>0</v>
      </c>
      <c r="C1" s="6" t="s">
        <v>1</v>
      </c>
      <c r="D1" s="6" t="s">
        <v>2</v>
      </c>
      <c r="E1" s="6" t="s">
        <v>54</v>
      </c>
      <c r="F1" s="6" t="s">
        <v>53</v>
      </c>
      <c r="G1" s="7" t="s">
        <v>55</v>
      </c>
      <c r="H1" s="7" t="s">
        <v>56</v>
      </c>
      <c r="I1" s="7"/>
      <c r="J1" s="7"/>
      <c r="K1" s="7"/>
      <c r="L1" s="7"/>
      <c r="M1" s="7"/>
    </row>
    <row r="2" spans="1:13" ht="43" customHeight="1">
      <c r="A2" s="5"/>
      <c r="B2" s="8" t="s">
        <v>4</v>
      </c>
      <c r="C2" s="4" t="s">
        <v>86</v>
      </c>
      <c r="D2" s="6" t="s">
        <v>7</v>
      </c>
      <c r="E2" s="4" t="s">
        <v>8</v>
      </c>
      <c r="F2" s="4">
        <v>0.25</v>
      </c>
      <c r="G2" s="2" t="s">
        <v>48</v>
      </c>
      <c r="H2" s="10">
        <v>0</v>
      </c>
      <c r="I2" s="10"/>
      <c r="J2" s="10"/>
      <c r="K2" s="10"/>
      <c r="L2" s="10"/>
      <c r="M2" s="10"/>
    </row>
    <row r="3" spans="1:13" ht="17">
      <c r="A3" s="5"/>
      <c r="B3" s="8" t="s">
        <v>4</v>
      </c>
      <c r="C3" s="6" t="s">
        <v>87</v>
      </c>
      <c r="D3" s="6" t="s">
        <v>7</v>
      </c>
      <c r="E3" s="6" t="s">
        <v>9</v>
      </c>
      <c r="F3" s="9">
        <v>0.1</v>
      </c>
      <c r="G3" s="2" t="s">
        <v>9</v>
      </c>
      <c r="H3" s="10">
        <v>0.1</v>
      </c>
      <c r="I3" s="10"/>
      <c r="J3" s="10"/>
      <c r="K3" s="10"/>
      <c r="L3" s="10"/>
      <c r="M3" s="10"/>
    </row>
    <row r="4" spans="1:13" ht="17">
      <c r="A4" s="5"/>
      <c r="B4" s="8" t="s">
        <v>4</v>
      </c>
      <c r="C4" s="8" t="s">
        <v>88</v>
      </c>
      <c r="D4" s="6" t="s">
        <v>7</v>
      </c>
      <c r="E4" s="6" t="s">
        <v>9</v>
      </c>
      <c r="F4" s="9">
        <v>0.12</v>
      </c>
      <c r="G4" s="2" t="s">
        <v>48</v>
      </c>
      <c r="H4" s="10">
        <v>0</v>
      </c>
      <c r="I4" s="10"/>
      <c r="J4" s="10"/>
      <c r="K4" s="10"/>
      <c r="L4" s="10"/>
      <c r="M4" s="10"/>
    </row>
    <row r="5" spans="1:13" ht="17">
      <c r="A5" s="5"/>
      <c r="B5" s="8" t="s">
        <v>4</v>
      </c>
      <c r="C5" s="8" t="s">
        <v>89</v>
      </c>
      <c r="D5" s="6" t="s">
        <v>7</v>
      </c>
      <c r="E5" s="6" t="s">
        <v>8</v>
      </c>
      <c r="F5" s="9">
        <v>0.25</v>
      </c>
      <c r="G5" s="2" t="s">
        <v>48</v>
      </c>
      <c r="H5" s="10">
        <v>0</v>
      </c>
      <c r="I5" s="10"/>
      <c r="J5" s="10"/>
      <c r="K5" s="10"/>
      <c r="L5" s="10"/>
      <c r="M5" s="10"/>
    </row>
    <row r="6" spans="1:13" ht="17">
      <c r="A6" s="5"/>
      <c r="B6" s="8" t="s">
        <v>4</v>
      </c>
      <c r="C6" s="8" t="s">
        <v>90</v>
      </c>
      <c r="D6" s="6" t="s">
        <v>7</v>
      </c>
      <c r="E6" s="6" t="s">
        <v>9</v>
      </c>
      <c r="F6" s="9">
        <v>0.12</v>
      </c>
      <c r="G6" s="2" t="s">
        <v>9</v>
      </c>
      <c r="H6" s="10">
        <v>0.12</v>
      </c>
      <c r="I6" s="10"/>
      <c r="J6" s="10"/>
      <c r="K6" s="10"/>
      <c r="L6" s="10"/>
      <c r="M6" s="10"/>
    </row>
    <row r="7" spans="1:13" ht="17">
      <c r="A7" s="5"/>
      <c r="B7" s="8" t="s">
        <v>10</v>
      </c>
      <c r="C7" s="8" t="s">
        <v>24</v>
      </c>
      <c r="D7" s="6" t="s">
        <v>7</v>
      </c>
      <c r="E7" s="6" t="s">
        <v>11</v>
      </c>
      <c r="F7" s="9">
        <v>0.1</v>
      </c>
      <c r="G7" s="2" t="s">
        <v>9</v>
      </c>
      <c r="H7" s="10">
        <v>0.1</v>
      </c>
      <c r="I7" s="10"/>
      <c r="J7" s="10"/>
      <c r="K7" s="10"/>
      <c r="L7" s="10"/>
      <c r="M7" s="10"/>
    </row>
    <row r="8" spans="1:13" ht="17">
      <c r="A8" s="5"/>
      <c r="B8" s="6" t="s">
        <v>12</v>
      </c>
      <c r="C8" s="8" t="s">
        <v>13</v>
      </c>
      <c r="D8" s="6" t="s">
        <v>7</v>
      </c>
      <c r="E8" s="6" t="s">
        <v>8</v>
      </c>
      <c r="F8" s="9">
        <v>1.36</v>
      </c>
      <c r="G8" s="2" t="s">
        <v>39</v>
      </c>
      <c r="H8" s="10">
        <v>1.36</v>
      </c>
      <c r="I8" s="10"/>
      <c r="J8" s="10"/>
      <c r="K8" s="10"/>
      <c r="L8" s="10"/>
      <c r="M8" s="10"/>
    </row>
    <row r="9" spans="1:13" ht="17">
      <c r="A9" s="5"/>
      <c r="B9" s="6" t="s">
        <v>12</v>
      </c>
      <c r="C9" s="6" t="s">
        <v>14</v>
      </c>
      <c r="D9" s="6" t="s">
        <v>7</v>
      </c>
      <c r="E9" s="6" t="s">
        <v>8</v>
      </c>
      <c r="F9" s="9">
        <v>1.79</v>
      </c>
      <c r="G9" s="2" t="s">
        <v>39</v>
      </c>
      <c r="H9" s="10">
        <v>1.29</v>
      </c>
      <c r="I9" s="10"/>
      <c r="J9" s="10"/>
      <c r="K9" s="10"/>
      <c r="L9" s="10"/>
      <c r="M9" s="10"/>
    </row>
    <row r="10" spans="1:13" ht="17">
      <c r="A10" s="5"/>
      <c r="B10" s="6" t="s">
        <v>12</v>
      </c>
      <c r="C10" s="6" t="s">
        <v>15</v>
      </c>
      <c r="D10" s="6" t="s">
        <v>7</v>
      </c>
      <c r="E10" s="6" t="s">
        <v>8</v>
      </c>
      <c r="F10" s="9">
        <v>1.98</v>
      </c>
      <c r="G10" s="2" t="s">
        <v>39</v>
      </c>
      <c r="H10" s="10">
        <v>1.29</v>
      </c>
      <c r="I10" s="10"/>
      <c r="J10" s="10"/>
      <c r="K10" s="10"/>
      <c r="L10" s="10"/>
      <c r="M10" s="10"/>
    </row>
    <row r="11" spans="1:13" ht="17">
      <c r="A11" s="5"/>
      <c r="B11" s="6" t="s">
        <v>16</v>
      </c>
      <c r="C11" s="8" t="s">
        <v>17</v>
      </c>
      <c r="D11" s="6" t="s">
        <v>7</v>
      </c>
      <c r="E11" s="6" t="s">
        <v>8</v>
      </c>
      <c r="F11" s="9">
        <v>2.79</v>
      </c>
      <c r="G11" s="2" t="s">
        <v>39</v>
      </c>
      <c r="H11" s="10">
        <v>2.2799999999999998</v>
      </c>
      <c r="I11" s="10"/>
      <c r="J11" s="10"/>
      <c r="K11" s="10"/>
      <c r="L11" s="10"/>
      <c r="M11" s="10"/>
    </row>
    <row r="12" spans="1:13" ht="17">
      <c r="A12" s="5"/>
      <c r="B12" s="6" t="s">
        <v>16</v>
      </c>
      <c r="C12" s="8" t="s">
        <v>18</v>
      </c>
      <c r="D12" s="6" t="s">
        <v>7</v>
      </c>
      <c r="E12" s="6" t="s">
        <v>8</v>
      </c>
      <c r="F12" s="9">
        <v>2.76</v>
      </c>
      <c r="G12" s="2" t="s">
        <v>48</v>
      </c>
      <c r="H12" s="10">
        <v>0</v>
      </c>
      <c r="I12" s="10"/>
      <c r="J12" s="10"/>
      <c r="K12" s="10"/>
      <c r="L12" s="10"/>
      <c r="M12" s="10"/>
    </row>
    <row r="13" spans="1:13" ht="17">
      <c r="A13" s="5"/>
      <c r="B13" s="6" t="s">
        <v>16</v>
      </c>
      <c r="C13" s="8" t="s">
        <v>19</v>
      </c>
      <c r="D13" s="6" t="s">
        <v>7</v>
      </c>
      <c r="E13" s="6" t="s">
        <v>8</v>
      </c>
      <c r="F13" s="9">
        <v>2.79</v>
      </c>
      <c r="G13" s="2" t="s">
        <v>39</v>
      </c>
      <c r="H13" s="10">
        <v>2.2799999999999998</v>
      </c>
      <c r="I13" s="10"/>
      <c r="J13" s="10"/>
      <c r="K13" s="10"/>
      <c r="L13" s="10"/>
      <c r="M13" s="10"/>
    </row>
    <row r="14" spans="1:13" ht="17">
      <c r="A14" s="5"/>
      <c r="B14" s="6" t="s">
        <v>16</v>
      </c>
      <c r="C14" s="8" t="s">
        <v>20</v>
      </c>
      <c r="D14" s="6" t="s">
        <v>7</v>
      </c>
      <c r="E14" s="6" t="s">
        <v>8</v>
      </c>
      <c r="F14" s="9">
        <v>1.88</v>
      </c>
      <c r="G14" s="2" t="s">
        <v>39</v>
      </c>
      <c r="H14" s="10">
        <v>1.36</v>
      </c>
      <c r="I14" s="10"/>
      <c r="J14" s="10"/>
      <c r="K14" s="10"/>
      <c r="L14" s="10"/>
      <c r="M14" s="10"/>
    </row>
    <row r="15" spans="1:13" ht="17">
      <c r="A15" s="5"/>
      <c r="B15" s="6" t="s">
        <v>21</v>
      </c>
      <c r="C15" s="8" t="s">
        <v>22</v>
      </c>
      <c r="D15" s="6" t="s">
        <v>23</v>
      </c>
      <c r="E15" s="6" t="s">
        <v>11</v>
      </c>
      <c r="F15" s="9">
        <f>8.53/30</f>
        <v>0.28433333333333333</v>
      </c>
      <c r="G15" s="2" t="s">
        <v>11</v>
      </c>
      <c r="H15" s="10">
        <f>8.53/30</f>
        <v>0.28433333333333333</v>
      </c>
      <c r="I15" s="10"/>
      <c r="J15" s="10"/>
      <c r="K15" s="10"/>
      <c r="L15" s="10"/>
      <c r="M15" s="10"/>
    </row>
    <row r="16" spans="1:13">
      <c r="A16" s="5"/>
      <c r="F16" s="10"/>
      <c r="G16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2484-5871-3946-A4A9-23C66DAD55E1}">
  <sheetPr codeName="Sheet4"/>
  <dimension ref="A1:O9"/>
  <sheetViews>
    <sheetView zoomScale="112" workbookViewId="0">
      <selection activeCell="G27" sqref="G27"/>
    </sheetView>
  </sheetViews>
  <sheetFormatPr baseColWidth="10" defaultRowHeight="16"/>
  <cols>
    <col min="2" max="2" width="15.83203125" bestFit="1" customWidth="1"/>
    <col min="3" max="3" width="25.1640625" bestFit="1" customWidth="1"/>
    <col min="4" max="4" width="13.1640625" bestFit="1" customWidth="1"/>
    <col min="5" max="5" width="13.83203125" bestFit="1" customWidth="1"/>
    <col min="6" max="6" width="17" bestFit="1" customWidth="1"/>
    <col min="7" max="7" width="15" bestFit="1" customWidth="1"/>
    <col min="8" max="8" width="15.83203125" bestFit="1" customWidth="1"/>
    <col min="9" max="9" width="14.1640625" bestFit="1" customWidth="1"/>
    <col min="10" max="10" width="11.83203125" bestFit="1" customWidth="1"/>
    <col min="11" max="11" width="11.83203125" customWidth="1"/>
    <col min="12" max="12" width="12" bestFit="1" customWidth="1"/>
    <col min="14" max="14" width="23.33203125" bestFit="1" customWidth="1"/>
    <col min="15" max="15" width="20.33203125" bestFit="1" customWidth="1"/>
  </cols>
  <sheetData>
    <row r="1" spans="1:15">
      <c r="A1" t="s">
        <v>68</v>
      </c>
      <c r="B1" t="s">
        <v>0</v>
      </c>
      <c r="C1" t="s">
        <v>1</v>
      </c>
      <c r="D1" t="s">
        <v>58</v>
      </c>
      <c r="E1" t="s">
        <v>59</v>
      </c>
      <c r="F1" t="s">
        <v>60</v>
      </c>
      <c r="G1" t="s">
        <v>85</v>
      </c>
      <c r="H1" t="s">
        <v>61</v>
      </c>
      <c r="I1" t="s">
        <v>62</v>
      </c>
      <c r="J1" t="s">
        <v>66</v>
      </c>
      <c r="K1" t="s">
        <v>63</v>
      </c>
      <c r="L1" t="s">
        <v>64</v>
      </c>
      <c r="M1" t="s">
        <v>65</v>
      </c>
      <c r="N1" t="s">
        <v>84</v>
      </c>
      <c r="O1" t="s">
        <v>67</v>
      </c>
    </row>
    <row r="2" spans="1:15">
      <c r="B2" t="s">
        <v>70</v>
      </c>
      <c r="C2" t="s">
        <v>125</v>
      </c>
      <c r="D2" t="s">
        <v>122</v>
      </c>
      <c r="E2" t="s">
        <v>122</v>
      </c>
      <c r="F2" t="s">
        <v>122</v>
      </c>
      <c r="G2" t="s">
        <v>122</v>
      </c>
      <c r="H2" t="s">
        <v>122</v>
      </c>
      <c r="I2" t="s">
        <v>122</v>
      </c>
      <c r="J2" t="s">
        <v>122</v>
      </c>
      <c r="K2" t="s">
        <v>122</v>
      </c>
      <c r="L2" t="s">
        <v>121</v>
      </c>
      <c r="M2" t="s">
        <v>121</v>
      </c>
      <c r="N2" t="s">
        <v>121</v>
      </c>
      <c r="O2" t="s">
        <v>121</v>
      </c>
    </row>
    <row r="3" spans="1:15">
      <c r="B3" t="s">
        <v>69</v>
      </c>
      <c r="C3" t="s">
        <v>125</v>
      </c>
      <c r="D3" t="s">
        <v>113</v>
      </c>
      <c r="E3" t="s">
        <v>114</v>
      </c>
      <c r="F3" t="s">
        <v>115</v>
      </c>
      <c r="G3" s="1" t="s">
        <v>115</v>
      </c>
      <c r="H3" s="1" t="s">
        <v>116</v>
      </c>
      <c r="I3" s="1" t="s">
        <v>116</v>
      </c>
      <c r="J3" s="1" t="s">
        <v>117</v>
      </c>
      <c r="K3" s="1" t="s">
        <v>118</v>
      </c>
      <c r="L3" s="1" t="s">
        <v>119</v>
      </c>
      <c r="M3" s="1" t="s">
        <v>119</v>
      </c>
      <c r="N3" s="1" t="s">
        <v>120</v>
      </c>
      <c r="O3" t="s">
        <v>124</v>
      </c>
    </row>
    <row r="4" spans="1:15">
      <c r="B4" t="s">
        <v>26</v>
      </c>
      <c r="C4" t="s">
        <v>27</v>
      </c>
      <c r="D4" s="1" t="s">
        <v>102</v>
      </c>
      <c r="E4" s="1" t="s">
        <v>101</v>
      </c>
      <c r="F4" s="1" t="s">
        <v>107</v>
      </c>
      <c r="G4" s="1" t="s">
        <v>107</v>
      </c>
      <c r="H4" s="1" t="s">
        <v>108</v>
      </c>
      <c r="I4" s="1" t="s">
        <v>108</v>
      </c>
      <c r="J4" s="1" t="s">
        <v>109</v>
      </c>
      <c r="K4" s="1" t="s">
        <v>110</v>
      </c>
      <c r="L4" s="1" t="s">
        <v>112</v>
      </c>
      <c r="M4" s="1" t="s">
        <v>109</v>
      </c>
      <c r="N4" s="1" t="s">
        <v>112</v>
      </c>
      <c r="O4" s="1" t="s">
        <v>123</v>
      </c>
    </row>
    <row r="5" spans="1:15">
      <c r="B5" t="s">
        <v>28</v>
      </c>
      <c r="C5" t="s">
        <v>29</v>
      </c>
      <c r="D5" s="1" t="s">
        <v>102</v>
      </c>
      <c r="E5" s="1" t="s">
        <v>101</v>
      </c>
      <c r="F5" s="1" t="s">
        <v>107</v>
      </c>
      <c r="G5" s="1" t="s">
        <v>107</v>
      </c>
      <c r="H5" s="1" t="s">
        <v>108</v>
      </c>
      <c r="I5" s="1" t="s">
        <v>108</v>
      </c>
      <c r="J5" s="1" t="s">
        <v>109</v>
      </c>
      <c r="K5" s="1" t="s">
        <v>110</v>
      </c>
      <c r="L5" s="1" t="s">
        <v>111</v>
      </c>
      <c r="M5" s="1" t="s">
        <v>109</v>
      </c>
      <c r="N5" s="1" t="s">
        <v>111</v>
      </c>
      <c r="O5" t="s">
        <v>123</v>
      </c>
    </row>
    <row r="6" spans="1:15" ht="85">
      <c r="B6" t="s">
        <v>71</v>
      </c>
      <c r="C6" t="s">
        <v>125</v>
      </c>
      <c r="D6" t="s">
        <v>103</v>
      </c>
      <c r="E6" t="s">
        <v>104</v>
      </c>
      <c r="F6" t="s">
        <v>105</v>
      </c>
      <c r="G6" s="1" t="s">
        <v>105</v>
      </c>
      <c r="H6" s="1" t="s">
        <v>106</v>
      </c>
      <c r="I6" s="1" t="s">
        <v>106</v>
      </c>
      <c r="J6" s="4" t="s">
        <v>72</v>
      </c>
      <c r="K6" s="4" t="s">
        <v>72</v>
      </c>
      <c r="L6" t="s">
        <v>48</v>
      </c>
      <c r="M6" t="s">
        <v>48</v>
      </c>
      <c r="N6" t="s">
        <v>48</v>
      </c>
      <c r="O6" t="s">
        <v>48</v>
      </c>
    </row>
    <row r="7" spans="1:15">
      <c r="B7" t="s">
        <v>30</v>
      </c>
      <c r="C7" t="s">
        <v>31</v>
      </c>
      <c r="D7" s="1" t="s">
        <v>91</v>
      </c>
      <c r="E7" s="1" t="s">
        <v>94</v>
      </c>
      <c r="F7" s="1" t="s">
        <v>95</v>
      </c>
      <c r="G7" s="1" t="s">
        <v>95</v>
      </c>
      <c r="H7" s="1" t="s">
        <v>98</v>
      </c>
      <c r="I7" s="1" t="s">
        <v>98</v>
      </c>
      <c r="J7" s="13" t="s">
        <v>48</v>
      </c>
      <c r="K7" s="13" t="s">
        <v>48</v>
      </c>
      <c r="L7" s="13" t="s">
        <v>48</v>
      </c>
      <c r="M7" s="13" t="s">
        <v>48</v>
      </c>
      <c r="N7" s="13" t="s">
        <v>48</v>
      </c>
      <c r="O7" s="13" t="s">
        <v>48</v>
      </c>
    </row>
    <row r="8" spans="1:15">
      <c r="B8" t="s">
        <v>30</v>
      </c>
      <c r="C8" t="s">
        <v>32</v>
      </c>
      <c r="D8" s="1" t="s">
        <v>92</v>
      </c>
      <c r="E8" s="1" t="s">
        <v>95</v>
      </c>
      <c r="F8" s="1" t="s">
        <v>97</v>
      </c>
      <c r="G8" s="1" t="s">
        <v>97</v>
      </c>
      <c r="H8" s="1" t="s">
        <v>99</v>
      </c>
      <c r="I8" s="1" t="s">
        <v>99</v>
      </c>
      <c r="J8" s="13" t="s">
        <v>48</v>
      </c>
      <c r="K8" s="13" t="s">
        <v>48</v>
      </c>
      <c r="L8" s="13" t="s">
        <v>48</v>
      </c>
      <c r="M8" s="13" t="s">
        <v>48</v>
      </c>
      <c r="N8" s="13" t="s">
        <v>48</v>
      </c>
      <c r="O8" s="13" t="s">
        <v>48</v>
      </c>
    </row>
    <row r="9" spans="1:15">
      <c r="B9" t="s">
        <v>30</v>
      </c>
      <c r="C9" t="s">
        <v>33</v>
      </c>
      <c r="D9" s="1" t="s">
        <v>93</v>
      </c>
      <c r="E9" s="1" t="s">
        <v>96</v>
      </c>
      <c r="F9" s="1" t="s">
        <v>91</v>
      </c>
      <c r="G9" s="1" t="s">
        <v>91</v>
      </c>
      <c r="H9" s="1" t="s">
        <v>100</v>
      </c>
      <c r="I9" s="1" t="s">
        <v>100</v>
      </c>
      <c r="J9" s="13" t="s">
        <v>48</v>
      </c>
      <c r="K9" s="13" t="s">
        <v>48</v>
      </c>
      <c r="L9" s="13" t="s">
        <v>48</v>
      </c>
      <c r="M9" s="13" t="s">
        <v>48</v>
      </c>
      <c r="N9" s="13" t="s">
        <v>48</v>
      </c>
      <c r="O9" s="13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52923-5C7B-C14F-9795-5C802A0A235E}">
  <sheetPr codeName="Sheet3"/>
  <dimension ref="A1:L3"/>
  <sheetViews>
    <sheetView tabSelected="1" workbookViewId="0">
      <selection activeCell="L13" sqref="L13"/>
    </sheetView>
  </sheetViews>
  <sheetFormatPr baseColWidth="10" defaultRowHeight="16"/>
  <cols>
    <col min="1" max="1" width="15.1640625" style="4" bestFit="1" customWidth="1"/>
    <col min="2" max="2" width="11.33203125" style="4" bestFit="1" customWidth="1"/>
    <col min="3" max="3" width="14.5" style="4" customWidth="1"/>
    <col min="4" max="4" width="17.33203125" style="4" customWidth="1"/>
    <col min="5" max="5" width="16.33203125" style="4" customWidth="1"/>
    <col min="6" max="6" width="18.6640625" style="4" customWidth="1"/>
    <col min="7" max="7" width="16.83203125" style="4" bestFit="1" customWidth="1"/>
    <col min="8" max="8" width="14.83203125" style="4" bestFit="1" customWidth="1"/>
    <col min="9" max="9" width="20.5" style="4" bestFit="1" customWidth="1"/>
    <col min="10" max="10" width="28" style="4" bestFit="1" customWidth="1"/>
    <col min="11" max="11" width="13.6640625" style="4" bestFit="1" customWidth="1"/>
    <col min="12" max="12" width="25" style="4" bestFit="1" customWidth="1"/>
    <col min="13" max="13" width="13.5" style="4" customWidth="1"/>
    <col min="14" max="14" width="16.5" style="4" customWidth="1"/>
    <col min="15" max="16384" width="10.83203125" style="4"/>
  </cols>
  <sheetData>
    <row r="1" spans="1:12" ht="17">
      <c r="A1" s="4" t="s">
        <v>73</v>
      </c>
      <c r="B1" s="4" t="s">
        <v>1</v>
      </c>
      <c r="C1" s="4" t="s">
        <v>58</v>
      </c>
      <c r="D1" s="4" t="s">
        <v>59</v>
      </c>
      <c r="E1" s="4" t="s">
        <v>75</v>
      </c>
      <c r="F1" s="4" t="s">
        <v>76</v>
      </c>
      <c r="G1" s="4" t="s">
        <v>77</v>
      </c>
      <c r="H1" s="4" t="s">
        <v>78</v>
      </c>
      <c r="I1" s="4" t="s">
        <v>79</v>
      </c>
      <c r="J1" s="4" t="s">
        <v>80</v>
      </c>
      <c r="K1" s="4" t="s">
        <v>81</v>
      </c>
      <c r="L1" s="4" t="s">
        <v>82</v>
      </c>
    </row>
    <row r="2" spans="1:12" ht="34">
      <c r="B2" s="4" t="s">
        <v>74</v>
      </c>
      <c r="C2" s="14" t="s">
        <v>128</v>
      </c>
      <c r="D2" s="14" t="s">
        <v>128</v>
      </c>
      <c r="E2" s="4" t="s">
        <v>127</v>
      </c>
      <c r="F2" s="4" t="s">
        <v>127</v>
      </c>
      <c r="G2" s="4" t="s">
        <v>126</v>
      </c>
      <c r="H2" s="4" t="s">
        <v>126</v>
      </c>
      <c r="I2" s="15">
        <v>13.2</v>
      </c>
      <c r="J2" s="15">
        <v>6.9</v>
      </c>
      <c r="K2" s="15">
        <v>32.07</v>
      </c>
      <c r="L2" s="15">
        <v>51.47</v>
      </c>
    </row>
    <row r="3" spans="1:12" ht="51">
      <c r="B3" s="4" t="s">
        <v>83</v>
      </c>
      <c r="C3" s="4" t="s">
        <v>48</v>
      </c>
      <c r="D3" s="4" t="s">
        <v>48</v>
      </c>
      <c r="E3" s="4" t="s">
        <v>48</v>
      </c>
      <c r="F3" s="4" t="s">
        <v>48</v>
      </c>
      <c r="G3" s="4" t="s">
        <v>48</v>
      </c>
      <c r="H3" s="4" t="s">
        <v>48</v>
      </c>
      <c r="I3" s="16">
        <v>30</v>
      </c>
      <c r="J3" s="16">
        <v>30</v>
      </c>
      <c r="K3" s="16">
        <v>40</v>
      </c>
      <c r="L3" s="15">
        <v>67.8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9EB6D-3EF0-8D46-8751-2E9F3BBA91C4}">
  <sheetPr codeName="Sheet6"/>
  <dimension ref="A1:G9"/>
  <sheetViews>
    <sheetView workbookViewId="0">
      <selection activeCell="G14" sqref="G14"/>
    </sheetView>
  </sheetViews>
  <sheetFormatPr baseColWidth="10" defaultRowHeight="16"/>
  <cols>
    <col min="1" max="1" width="13.5" bestFit="1" customWidth="1"/>
    <col min="2" max="2" width="14" bestFit="1" customWidth="1"/>
    <col min="3" max="3" width="17.33203125" customWidth="1"/>
    <col min="4" max="4" width="15" customWidth="1"/>
    <col min="5" max="5" width="12.5" customWidth="1"/>
    <col min="6" max="6" width="16.33203125" bestFit="1" customWidth="1"/>
    <col min="7" max="7" width="12.33203125" bestFit="1" customWidth="1"/>
  </cols>
  <sheetData>
    <row r="1" spans="1:7" ht="51">
      <c r="A1" s="4" t="s">
        <v>42</v>
      </c>
      <c r="B1" s="4" t="s">
        <v>0</v>
      </c>
      <c r="C1" s="4" t="s">
        <v>1</v>
      </c>
      <c r="D1" s="4" t="s">
        <v>45</v>
      </c>
      <c r="E1" s="4" t="s">
        <v>46</v>
      </c>
      <c r="F1" s="4" t="s">
        <v>43</v>
      </c>
      <c r="G1" s="4" t="s">
        <v>25</v>
      </c>
    </row>
    <row r="2" spans="1:7" ht="34">
      <c r="A2" s="4"/>
      <c r="B2" s="4" t="s">
        <v>26</v>
      </c>
      <c r="C2" s="4" t="s">
        <v>27</v>
      </c>
      <c r="D2" s="10">
        <v>12.8</v>
      </c>
      <c r="E2" s="10">
        <v>12.8</v>
      </c>
      <c r="F2" s="10">
        <v>23</v>
      </c>
      <c r="G2" s="10">
        <v>49.8</v>
      </c>
    </row>
    <row r="3" spans="1:7" ht="34">
      <c r="A3" s="4"/>
      <c r="B3" s="4" t="s">
        <v>28</v>
      </c>
      <c r="C3" s="4" t="s">
        <v>29</v>
      </c>
      <c r="D3" s="10">
        <v>12.8</v>
      </c>
      <c r="E3" s="10">
        <v>12.8</v>
      </c>
      <c r="F3" s="10">
        <v>23</v>
      </c>
      <c r="G3" s="10">
        <v>49.8</v>
      </c>
    </row>
    <row r="4" spans="1:7" ht="17">
      <c r="A4" s="4"/>
      <c r="B4" s="4" t="s">
        <v>44</v>
      </c>
      <c r="C4" s="4" t="s">
        <v>44</v>
      </c>
      <c r="D4" s="10">
        <v>7.3</v>
      </c>
      <c r="E4" s="10">
        <v>6.8</v>
      </c>
      <c r="F4" s="10">
        <v>23.5</v>
      </c>
      <c r="G4" s="10">
        <v>31.4</v>
      </c>
    </row>
    <row r="5" spans="1:7">
      <c r="A5" s="4"/>
      <c r="B5" s="4"/>
      <c r="C5" s="4"/>
      <c r="D5" s="4"/>
      <c r="E5" s="4"/>
      <c r="F5" s="4"/>
      <c r="G5" s="4"/>
    </row>
    <row r="6" spans="1:7">
      <c r="A6" s="4"/>
      <c r="B6" s="4"/>
      <c r="C6" s="4"/>
      <c r="D6" s="4"/>
      <c r="E6" s="4"/>
      <c r="F6" s="4"/>
      <c r="G6" s="4"/>
    </row>
    <row r="7" spans="1:7">
      <c r="A7" s="4"/>
      <c r="B7" s="4"/>
      <c r="C7" s="4"/>
      <c r="D7" s="4"/>
      <c r="E7" s="4"/>
      <c r="F7" s="4"/>
      <c r="G7" s="4"/>
    </row>
    <row r="8" spans="1:7">
      <c r="A8" s="4"/>
      <c r="B8" s="4"/>
      <c r="C8" s="4"/>
      <c r="D8" s="4"/>
      <c r="E8" s="4"/>
      <c r="F8" s="4"/>
      <c r="G8" s="4"/>
    </row>
    <row r="9" spans="1:7">
      <c r="A9" s="4"/>
      <c r="B9" s="4"/>
      <c r="C9" s="4"/>
      <c r="D9" s="4"/>
      <c r="E9" s="4"/>
      <c r="F9" s="4"/>
      <c r="G9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4AFD1-1536-4D44-8B15-68FB6BCF641D}">
  <sheetPr codeName="Sheet2"/>
  <dimension ref="A1:M15"/>
  <sheetViews>
    <sheetView zoomScale="94" workbookViewId="0">
      <selection activeCell="F17" sqref="F17"/>
    </sheetView>
  </sheetViews>
  <sheetFormatPr baseColWidth="10" defaultRowHeight="16"/>
  <cols>
    <col min="1" max="1" width="13.83203125" bestFit="1" customWidth="1"/>
    <col min="2" max="2" width="27.6640625" bestFit="1" customWidth="1"/>
    <col min="3" max="3" width="29.5" customWidth="1"/>
  </cols>
  <sheetData>
    <row r="1" spans="1:13" ht="17">
      <c r="A1" s="6" t="s">
        <v>34</v>
      </c>
      <c r="B1" s="6" t="s">
        <v>0</v>
      </c>
      <c r="C1" s="6" t="s">
        <v>1</v>
      </c>
      <c r="D1" s="6" t="s">
        <v>2</v>
      </c>
      <c r="E1" s="6" t="s">
        <v>35</v>
      </c>
      <c r="F1" s="6" t="s">
        <v>3</v>
      </c>
      <c r="G1" s="7"/>
      <c r="H1" s="7"/>
      <c r="I1" s="7"/>
      <c r="J1" s="7"/>
      <c r="K1" s="7"/>
      <c r="L1" s="7"/>
      <c r="M1" s="7"/>
    </row>
    <row r="2" spans="1:13" ht="17">
      <c r="A2" s="6"/>
      <c r="B2" s="8" t="s">
        <v>4</v>
      </c>
      <c r="C2" s="8" t="s">
        <v>49</v>
      </c>
      <c r="D2" s="6" t="s">
        <v>7</v>
      </c>
      <c r="E2" s="6" t="s">
        <v>9</v>
      </c>
      <c r="F2" s="9">
        <v>0.1</v>
      </c>
      <c r="G2" s="10"/>
      <c r="H2" s="10"/>
      <c r="I2" s="10"/>
      <c r="J2" s="10"/>
      <c r="K2" s="10"/>
      <c r="L2" s="10"/>
      <c r="M2" s="4"/>
    </row>
    <row r="3" spans="1:13" ht="17">
      <c r="A3" s="6"/>
      <c r="B3" s="8" t="s">
        <v>4</v>
      </c>
      <c r="C3" s="12" t="s">
        <v>5</v>
      </c>
      <c r="E3" t="s">
        <v>48</v>
      </c>
      <c r="G3" s="10"/>
      <c r="H3" s="10"/>
      <c r="I3" s="10"/>
      <c r="J3" s="10"/>
      <c r="K3" s="10"/>
      <c r="L3" s="10"/>
      <c r="M3" s="4"/>
    </row>
    <row r="4" spans="1:13" ht="17">
      <c r="A4" s="6"/>
      <c r="B4" s="8" t="s">
        <v>4</v>
      </c>
      <c r="C4" s="12" t="s">
        <v>50</v>
      </c>
      <c r="E4" t="s">
        <v>48</v>
      </c>
      <c r="G4" s="10"/>
      <c r="H4" s="10"/>
      <c r="I4" s="10"/>
      <c r="J4" s="10"/>
      <c r="K4" s="10"/>
      <c r="L4" s="10"/>
      <c r="M4" s="4"/>
    </row>
    <row r="5" spans="1:13" ht="17">
      <c r="A5" s="6"/>
      <c r="B5" s="8" t="s">
        <v>4</v>
      </c>
      <c r="C5" s="8" t="s">
        <v>6</v>
      </c>
      <c r="D5" s="6" t="s">
        <v>7</v>
      </c>
      <c r="E5" s="6" t="s">
        <v>11</v>
      </c>
      <c r="F5" s="9">
        <v>0.12</v>
      </c>
      <c r="G5" s="10"/>
      <c r="H5" s="10"/>
      <c r="I5" s="10"/>
      <c r="J5" s="10"/>
      <c r="K5" s="10"/>
      <c r="L5" s="10"/>
      <c r="M5" s="4"/>
    </row>
    <row r="6" spans="1:13" ht="17">
      <c r="A6" s="6"/>
      <c r="B6" s="8" t="s">
        <v>10</v>
      </c>
      <c r="C6" s="8" t="s">
        <v>51</v>
      </c>
      <c r="D6" s="6" t="s">
        <v>7</v>
      </c>
      <c r="E6" s="6" t="s">
        <v>9</v>
      </c>
      <c r="F6" s="9">
        <v>0.1</v>
      </c>
      <c r="G6" s="10"/>
      <c r="H6" s="10"/>
      <c r="I6" s="10"/>
      <c r="J6" s="10"/>
      <c r="K6" s="10"/>
      <c r="L6" s="10"/>
      <c r="M6" s="4"/>
    </row>
    <row r="7" spans="1:13" ht="34">
      <c r="A7" s="6"/>
      <c r="B7" s="8" t="s">
        <v>36</v>
      </c>
      <c r="C7" s="8" t="s">
        <v>37</v>
      </c>
      <c r="D7" s="6" t="s">
        <v>7</v>
      </c>
      <c r="E7" s="6" t="s">
        <v>39</v>
      </c>
      <c r="F7" s="9">
        <v>1.36</v>
      </c>
      <c r="G7" s="10"/>
      <c r="H7" s="10"/>
      <c r="I7" s="10"/>
      <c r="J7" s="10"/>
      <c r="K7" s="10"/>
      <c r="L7" s="10"/>
      <c r="M7" s="4"/>
    </row>
    <row r="8" spans="1:13" ht="34">
      <c r="A8" s="6"/>
      <c r="B8" s="8" t="s">
        <v>36</v>
      </c>
      <c r="C8" s="11" t="s">
        <v>38</v>
      </c>
      <c r="D8" s="6" t="s">
        <v>7</v>
      </c>
      <c r="E8" s="6" t="s">
        <v>39</v>
      </c>
      <c r="F8" s="9">
        <v>1.29</v>
      </c>
      <c r="G8" s="10"/>
      <c r="H8" s="10"/>
      <c r="I8" s="10"/>
      <c r="J8" s="10"/>
      <c r="K8" s="10"/>
      <c r="L8" s="10"/>
      <c r="M8" s="4"/>
    </row>
    <row r="9" spans="1:13" ht="34">
      <c r="A9" s="6"/>
      <c r="B9" s="8" t="s">
        <v>36</v>
      </c>
      <c r="C9" s="8" t="s">
        <v>15</v>
      </c>
      <c r="D9" s="6" t="s">
        <v>7</v>
      </c>
      <c r="E9" s="6" t="s">
        <v>39</v>
      </c>
      <c r="F9" s="9">
        <v>1.29</v>
      </c>
      <c r="G9" s="10"/>
      <c r="H9" s="10"/>
      <c r="I9" s="10"/>
      <c r="J9" s="10"/>
      <c r="K9" s="10"/>
      <c r="L9" s="10"/>
      <c r="M9" s="4"/>
    </row>
    <row r="10" spans="1:13" ht="34">
      <c r="A10" s="6"/>
      <c r="B10" s="11" t="s">
        <v>16</v>
      </c>
      <c r="C10" s="8" t="s">
        <v>40</v>
      </c>
      <c r="D10" s="6" t="s">
        <v>7</v>
      </c>
      <c r="E10" s="6" t="s">
        <v>39</v>
      </c>
      <c r="F10" s="9">
        <v>2.2799999999999998</v>
      </c>
      <c r="G10" s="10"/>
      <c r="H10" s="10"/>
      <c r="I10" s="10"/>
      <c r="J10" s="10"/>
      <c r="K10" s="10"/>
      <c r="L10" s="10"/>
      <c r="M10" s="4"/>
    </row>
    <row r="11" spans="1:13" ht="34">
      <c r="A11" s="6"/>
      <c r="B11" s="11" t="s">
        <v>16</v>
      </c>
      <c r="C11" s="12" t="s">
        <v>18</v>
      </c>
      <c r="D11" s="7" t="s">
        <v>48</v>
      </c>
      <c r="G11" s="10"/>
      <c r="H11" s="10"/>
      <c r="I11" s="10"/>
      <c r="J11" s="10"/>
      <c r="K11" s="10"/>
      <c r="L11" s="10"/>
      <c r="M11" s="4"/>
    </row>
    <row r="12" spans="1:13" ht="34">
      <c r="A12" s="6"/>
      <c r="B12" s="11" t="s">
        <v>16</v>
      </c>
      <c r="C12" s="8" t="s">
        <v>19</v>
      </c>
      <c r="D12" s="6" t="s">
        <v>7</v>
      </c>
      <c r="E12" s="6" t="s">
        <v>39</v>
      </c>
      <c r="F12" s="9">
        <v>2.2799999999999998</v>
      </c>
      <c r="G12" s="4"/>
      <c r="H12" s="4"/>
      <c r="I12" s="4"/>
      <c r="J12" s="4"/>
      <c r="K12" s="4"/>
      <c r="L12" s="4"/>
      <c r="M12" s="4"/>
    </row>
    <row r="13" spans="1:13" ht="34">
      <c r="A13" s="4"/>
      <c r="B13" s="11" t="s">
        <v>16</v>
      </c>
      <c r="C13" s="8" t="s">
        <v>20</v>
      </c>
      <c r="D13" s="6" t="s">
        <v>7</v>
      </c>
      <c r="E13" s="6" t="s">
        <v>39</v>
      </c>
      <c r="F13" s="9">
        <v>1.36</v>
      </c>
      <c r="G13" s="4"/>
      <c r="H13" s="4"/>
      <c r="I13" s="4"/>
      <c r="J13" s="4"/>
      <c r="K13" s="4"/>
      <c r="L13" s="4"/>
      <c r="M13" s="4"/>
    </row>
    <row r="14" spans="1:13" ht="17">
      <c r="A14" s="4"/>
      <c r="B14" s="8" t="s">
        <v>21</v>
      </c>
      <c r="C14" s="8" t="s">
        <v>52</v>
      </c>
      <c r="D14" s="6" t="s">
        <v>41</v>
      </c>
      <c r="E14" s="6" t="s">
        <v>8</v>
      </c>
      <c r="F14" s="9">
        <v>19.600000000000001</v>
      </c>
      <c r="G14" s="4"/>
      <c r="H14" s="4"/>
      <c r="I14" s="4"/>
      <c r="J14" s="4"/>
      <c r="K14" s="4"/>
      <c r="L14" s="4"/>
      <c r="M14" s="4"/>
    </row>
    <row r="15" spans="1:1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0D00B-7E7A-3D4D-93BF-33165CBBAAE1}">
  <sheetPr codeName="Sheet5"/>
  <dimension ref="A1"/>
  <sheetViews>
    <sheetView workbookViewId="0">
      <selection activeCell="H37" sqref="H37"/>
    </sheetView>
  </sheetViews>
  <sheetFormatPr baseColWidth="10" defaultRowHeight="16"/>
  <sheetData>
    <row r="1" spans="1:1">
      <c r="A1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Drugs</vt:lpstr>
      <vt:lpstr>Tests</vt:lpstr>
      <vt:lpstr>Consultation</vt:lpstr>
      <vt:lpstr>Polyclinic Tests</vt:lpstr>
      <vt:lpstr>Polyclinic Drugs</vt:lpstr>
      <vt:lpstr>Polyclinic consultation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2019-12-29T09:20:09Z</dcterms:created>
  <dcterms:modified xsi:type="dcterms:W3CDTF">2020-01-08T08:51:25Z</dcterms:modified>
</cp:coreProperties>
</file>